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GCN per fold" sheetId="1" state="visible" r:id="rId3"/>
    <sheet name="FINAL OVERALL RESULTS TABL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<sst xmlns="http://schemas.openxmlformats.org/spreadsheetml/2006/main" count="52" uniqueCount="25">
  <si>
    <t xml:space="preserve">FOLD</t>
  </si>
  <si>
    <t xml:space="preserve">AVERAGE</t>
  </si>
  <si>
    <t xml:space="preserve">STD DEVIATION</t>
  </si>
  <si>
    <t xml:space="preserve">Prec</t>
  </si>
  <si>
    <t xml:space="preserve">Recall</t>
  </si>
  <si>
    <t xml:space="preserve">F-Score</t>
  </si>
  <si>
    <t xml:space="preserve">Average</t>
  </si>
  <si>
    <t xml:space="preserve">Precision:</t>
  </si>
  <si>
    <t xml:space="preserve">Recall:</t>
  </si>
  <si>
    <t xml:space="preserve">F1-score:</t>
  </si>
  <si>
    <t xml:space="preserve">F-SCORES PER CLASS PER FOLD</t>
  </si>
  <si>
    <t xml:space="preserve">Class 0</t>
  </si>
  <si>
    <t xml:space="preserve">Class 1</t>
  </si>
  <si>
    <t xml:space="preserve">Class 2</t>
  </si>
  <si>
    <t xml:space="preserve">Class 3</t>
  </si>
  <si>
    <t xml:space="preserve">Class 4</t>
  </si>
  <si>
    <t xml:space="preserve">Class 5</t>
  </si>
  <si>
    <t xml:space="preserve">PREC PER CLASS PER FOLD</t>
  </si>
  <si>
    <t xml:space="preserve">REC PER CLASS PER FOLD</t>
  </si>
  <si>
    <t xml:space="preserve">RGCN</t>
  </si>
  <si>
    <t xml:space="preserve">PRECISION</t>
  </si>
  <si>
    <t xml:space="preserve">RECALL</t>
  </si>
  <si>
    <t xml:space="preserve">F1-score</t>
  </si>
  <si>
    <t xml:space="preserve">avg</t>
  </si>
  <si>
    <t xml:space="preserve">std.dev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</si>
</sst>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7.27"/>
    <col collapsed="false" customWidth="true" hidden="false" outlineLevel="0" max="3" min="3" style="1" width="26.43"/>
    <col collapsed="false" customWidth="true" hidden="false" outlineLevel="0" max="4" min="4" style="1" width="19.13"/>
    <col collapsed="false" customWidth="true" hidden="false" outlineLevel="0" max="5" min="5" style="1" width="21.1"/>
    <col collapsed="false" customWidth="true" hidden="false" outlineLevel="0" max="6" min="6" style="1" width="17.73"/>
    <col collapsed="false" customWidth="true" hidden="false" outlineLevel="0" max="12" min="12" style="1" width="21.44"/>
    <col collapsed="false" customWidth="true" hidden="false" outlineLevel="0" max="13" min="13" style="1" width="20.28"/>
  </cols>
  <sheetData>
    <row r="1" customFormat="false" ht="12.8" hidden="false" customHeight="false" outlineLevel="0" collapsed="false">
      <c r="A1" s="2" t="s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s">
        <v>1</v>
      </c>
      <c r="M1" s="2" t="s">
        <v>2</v>
      </c>
    </row>
    <row r="2" customFormat="false" ht="12.8" hidden="false" customHeight="false" outlineLevel="0" collapsed="false">
      <c r="A2" s="2" t="s">
        <v>3</v>
      </c>
      <c r="B2" s="3" t="n">
        <v>0.170079648630468</v>
      </c>
      <c r="C2" s="3" t="n">
        <v>0.18458577262803</v>
      </c>
      <c r="D2" s="3" t="n">
        <v>0.18170215590752</v>
      </c>
      <c r="E2" s="3" t="n">
        <v>0.11016808411324</v>
      </c>
      <c r="F2" s="3" t="n">
        <v>0.152730436518573</v>
      </c>
      <c r="G2" s="3" t="n">
        <v>0.173161994357106</v>
      </c>
      <c r="H2" s="3" t="n">
        <v>0.193127521827545</v>
      </c>
      <c r="I2" s="3" t="n">
        <v>0.163759016970677</v>
      </c>
      <c r="J2" s="3" t="n">
        <v>0.152069866267684</v>
      </c>
      <c r="K2" s="3" t="n">
        <v>0.178255346000944</v>
      </c>
      <c r="L2" s="3" t="n">
        <f aca="false">AVERAGE(B2:K2)</f>
        <v>0.165963984322179</v>
      </c>
      <c r="M2" s="3" t="n">
        <f aca="false">STDEV(B2:H2)</f>
        <v>0.0279502739154571</v>
      </c>
    </row>
    <row r="3" customFormat="false" ht="12.8" hidden="false" customHeight="false" outlineLevel="0" collapsed="false">
      <c r="A3" s="2" t="s">
        <v>4</v>
      </c>
      <c r="B3" s="3" t="n">
        <v>0.207765823309742</v>
      </c>
      <c r="C3" s="3" t="n">
        <v>0.149966772531414</v>
      </c>
      <c r="D3" s="3" t="n">
        <v>0.17543867310871</v>
      </c>
      <c r="E3" s="3" t="n">
        <v>0.158613283925675</v>
      </c>
      <c r="F3" s="3" t="n">
        <v>0.15409573358477</v>
      </c>
      <c r="G3" s="3" t="n">
        <v>0.175453107943104</v>
      </c>
      <c r="H3" s="3" t="n">
        <v>0.216547241926369</v>
      </c>
      <c r="I3" s="3" t="n">
        <v>0.141444442889932</v>
      </c>
      <c r="J3" s="3" t="n">
        <v>0.17093209589671</v>
      </c>
      <c r="K3" s="3" t="n">
        <v>0.171373595187651</v>
      </c>
      <c r="L3" s="3" t="n">
        <f aca="false">AVERAGE(B3:K3)</f>
        <v>0.172163077030408</v>
      </c>
      <c r="M3" s="3" t="n">
        <f aca="false">STDEV(B3:H3)</f>
        <v>0.0261681867400089</v>
      </c>
    </row>
    <row r="4" customFormat="false" ht="12.8" hidden="false" customHeight="false" outlineLevel="0" collapsed="false">
      <c r="A4" s="2" t="s">
        <v>5</v>
      </c>
      <c r="B4" s="3" t="n">
        <v>0.10038735751791</v>
      </c>
      <c r="C4" s="3" t="n">
        <v>0.0749495189675984</v>
      </c>
      <c r="D4" s="3" t="n">
        <v>0.15217145876506</v>
      </c>
      <c r="E4" s="3" t="n">
        <v>0.0570178482135065</v>
      </c>
      <c r="F4" s="3" t="n">
        <v>0.098580000455673</v>
      </c>
      <c r="G4" s="3" t="n">
        <v>0.120964231229439</v>
      </c>
      <c r="H4" s="3" t="n">
        <v>0.138773219854172</v>
      </c>
      <c r="I4" s="3" t="n">
        <v>0.0844300885951742</v>
      </c>
      <c r="J4" s="3" t="n">
        <v>0.127196977644821</v>
      </c>
      <c r="K4" s="3" t="n">
        <v>0.113385277218183</v>
      </c>
      <c r="L4" s="3" t="n">
        <f aca="false">AVERAGE(B4:K4)</f>
        <v>0.106785597846154</v>
      </c>
      <c r="M4" s="3" t="n">
        <f aca="false">STDEV(B4:H4)</f>
        <v>0.0338616198690873</v>
      </c>
    </row>
    <row r="5" customFormat="false" ht="12.8" hidden="false" customHeight="false" outlineLevel="0" collapsed="false">
      <c r="L5" s="3"/>
      <c r="M5" s="3"/>
    </row>
    <row r="6" customFormat="false" ht="12.8" hidden="false" customHeight="false" outlineLevel="0" collapsed="false">
      <c r="A6" s="1" t="s">
        <v>6</v>
      </c>
      <c r="B6" s="1" t="s">
        <v>7</v>
      </c>
      <c r="C6" s="1" t="n">
        <v>0.165963984322179</v>
      </c>
      <c r="L6" s="3"/>
      <c r="M6" s="3"/>
    </row>
    <row r="7" customFormat="false" ht="12.8" hidden="false" customHeight="false" outlineLevel="0" collapsed="false">
      <c r="A7" s="1" t="s">
        <v>6</v>
      </c>
      <c r="B7" s="1" t="s">
        <v>8</v>
      </c>
      <c r="C7" s="1" t="n">
        <v>0.172163077030408</v>
      </c>
      <c r="L7" s="3"/>
      <c r="M7" s="3"/>
    </row>
    <row r="8" customFormat="false" ht="12.8" hidden="false" customHeight="false" outlineLevel="0" collapsed="false">
      <c r="A8" s="1" t="s">
        <v>6</v>
      </c>
      <c r="B8" s="1" t="s">
        <v>9</v>
      </c>
      <c r="C8" s="1" t="n">
        <v>0.106785597846154</v>
      </c>
      <c r="L8" s="3"/>
      <c r="M8" s="3"/>
    </row>
    <row r="9" customFormat="false" ht="12.8" hidden="false" customHeight="false" outlineLevel="0" collapsed="false">
      <c r="L9" s="3"/>
      <c r="M9" s="3"/>
    </row>
    <row r="10" customFormat="false" ht="12.8" hidden="false" customHeight="false" outlineLevel="0" collapsed="false">
      <c r="L10" s="3"/>
      <c r="M10" s="3"/>
    </row>
    <row r="11" customFormat="false" ht="12.8" hidden="false" customHeight="false" outlineLevel="0" collapsed="false">
      <c r="A11" s="2" t="s">
        <v>10</v>
      </c>
      <c r="L11" s="3"/>
      <c r="M11" s="3"/>
    </row>
    <row r="12" customFormat="false" ht="12.8" hidden="false" customHeight="false" outlineLevel="0" collapsed="false">
      <c r="A12" s="2" t="s">
        <v>0</v>
      </c>
      <c r="B12" s="2" t="n">
        <v>1</v>
      </c>
      <c r="C12" s="2" t="n">
        <v>2</v>
      </c>
      <c r="D12" s="2" t="n">
        <v>3</v>
      </c>
      <c r="E12" s="2" t="n">
        <v>4</v>
      </c>
      <c r="F12" s="2" t="n">
        <v>5</v>
      </c>
      <c r="G12" s="2" t="n">
        <v>6</v>
      </c>
      <c r="H12" s="2" t="n">
        <v>7</v>
      </c>
      <c r="I12" s="2" t="n">
        <v>8</v>
      </c>
      <c r="J12" s="2" t="n">
        <v>9</v>
      </c>
      <c r="K12" s="2" t="n">
        <v>10</v>
      </c>
      <c r="L12" s="3"/>
      <c r="M12" s="3"/>
    </row>
    <row r="13" customFormat="false" ht="12.8" hidden="false" customHeight="false" outlineLevel="0" collapsed="false">
      <c r="A13" s="1" t="s">
        <v>11</v>
      </c>
      <c r="B13" s="1" t="n">
        <v>0.152667011910927</v>
      </c>
      <c r="C13" s="1" t="n">
        <v>0.301897533206831</v>
      </c>
      <c r="D13" s="1" t="n">
        <v>0.309813617344998</v>
      </c>
      <c r="E13" s="1" t="n">
        <v>0.614337500924761</v>
      </c>
      <c r="F13" s="1" t="n">
        <v>0.226917057902973</v>
      </c>
      <c r="G13" s="1" t="n">
        <v>0.254594438564418</v>
      </c>
      <c r="H13" s="1" t="n">
        <v>0.355922965116279</v>
      </c>
      <c r="I13" s="1" t="n">
        <v>0.323665787798891</v>
      </c>
      <c r="J13" s="1" t="n">
        <v>0.263908838456382</v>
      </c>
      <c r="K13" s="1" t="n">
        <v>0.354372899827445</v>
      </c>
      <c r="L13" s="3" t="n">
        <f aca="false">AVERAGE(B13:K13)</f>
        <v>0.315809765105391</v>
      </c>
      <c r="M13" s="3" t="n">
        <f aca="false">STDEV(B13:H13)</f>
        <v>0.146752556219858</v>
      </c>
    </row>
    <row r="14" customFormat="false" ht="12.8" hidden="false" customHeight="false" outlineLevel="0" collapsed="false">
      <c r="A14" s="1" t="s">
        <v>12</v>
      </c>
      <c r="B14" s="1" t="n">
        <v>0.113071008593397</v>
      </c>
      <c r="C14" s="1" t="n">
        <v>0.130856219709208</v>
      </c>
      <c r="D14" s="1" t="n">
        <v>0.127853881278539</v>
      </c>
      <c r="E14" s="1" t="n">
        <v>0.102362204724409</v>
      </c>
      <c r="F14" s="1" t="n">
        <v>0.023759608665269</v>
      </c>
      <c r="G14" s="1" t="n">
        <v>0.0675640010556875</v>
      </c>
      <c r="H14" s="1" t="n">
        <v>0.0531080265540133</v>
      </c>
      <c r="I14" s="1" t="n">
        <v>0.047074646940148</v>
      </c>
      <c r="J14" s="1" t="n">
        <v>0.0887772194304858</v>
      </c>
      <c r="K14" s="1" t="n">
        <v>0.094391785150079</v>
      </c>
      <c r="L14" s="3" t="n">
        <f aca="false">AVERAGE(B14:K14)</f>
        <v>0.0848818602101236</v>
      </c>
      <c r="M14" s="3" t="n">
        <f aca="false">STDEV(B14:H14)</f>
        <v>0.0408672166167985</v>
      </c>
    </row>
    <row r="15" customFormat="false" ht="12.8" hidden="false" customHeight="false" outlineLevel="0" collapsed="false">
      <c r="A15" s="1" t="s">
        <v>13</v>
      </c>
      <c r="B15" s="1" t="n">
        <v>0.111248454882571</v>
      </c>
      <c r="C15" s="1" t="n">
        <v>0.0645669291338583</v>
      </c>
      <c r="D15" s="1" t="n">
        <v>0.0629231381919554</v>
      </c>
      <c r="E15" s="1" t="n">
        <v>0</v>
      </c>
      <c r="F15" s="1" t="n">
        <v>0.0706991358994501</v>
      </c>
      <c r="G15" s="1" t="n">
        <v>0.0811808118081181</v>
      </c>
      <c r="H15" s="1" t="n">
        <v>0.0666100975816716</v>
      </c>
      <c r="I15" s="1" t="n">
        <v>0.0983352690669764</v>
      </c>
      <c r="J15" s="1" t="n">
        <v>0.110729613733906</v>
      </c>
      <c r="K15" s="1" t="n">
        <v>0.0915360501567398</v>
      </c>
      <c r="L15" s="3" t="n">
        <f aca="false">AVERAGE(B15:K15)</f>
        <v>0.0757829500455247</v>
      </c>
      <c r="M15" s="3" t="n">
        <f aca="false">STDEV(B15:H15)</f>
        <v>0.0333281718107781</v>
      </c>
    </row>
    <row r="16" customFormat="false" ht="12.8" hidden="false" customHeight="false" outlineLevel="0" collapsed="false">
      <c r="A16" s="1" t="s">
        <v>14</v>
      </c>
      <c r="B16" s="1" t="n">
        <v>0.0876494023904383</v>
      </c>
      <c r="C16" s="1" t="n">
        <v>0.0478119935170178</v>
      </c>
      <c r="D16" s="1" t="n">
        <v>0.0226460071513707</v>
      </c>
      <c r="E16" s="1" t="n">
        <v>0.0928381962864722</v>
      </c>
      <c r="F16" s="1" t="n">
        <v>0.0804899387576553</v>
      </c>
      <c r="G16" s="1" t="n">
        <v>0.0814696485623003</v>
      </c>
      <c r="H16" s="1" t="n">
        <v>0.0744389709906951</v>
      </c>
      <c r="I16" s="1" t="n">
        <v>0.0205252037428313</v>
      </c>
      <c r="J16" s="1" t="n">
        <v>0.0595497458242556</v>
      </c>
      <c r="K16" s="1" t="n">
        <v>0.0735680504466632</v>
      </c>
      <c r="L16" s="3" t="n">
        <f aca="false">AVERAGE(B16:K16)</f>
        <v>0.06409871576697</v>
      </c>
      <c r="M16" s="3" t="n">
        <f aca="false">STDEV(B16:H16)</f>
        <v>0.0252589302981582</v>
      </c>
    </row>
    <row r="17" customFormat="false" ht="12.8" hidden="false" customHeight="false" outlineLevel="0" collapsed="false">
      <c r="A17" s="1" t="s">
        <v>15</v>
      </c>
      <c r="B17" s="1" t="n">
        <v>0.0931289040318001</v>
      </c>
      <c r="C17" s="1" t="n">
        <v>0.0244399185336049</v>
      </c>
      <c r="D17" s="1" t="n">
        <v>0.0699551569506726</v>
      </c>
      <c r="E17" s="1" t="n">
        <v>0.0642443391258557</v>
      </c>
      <c r="F17" s="1" t="n">
        <v>0.0539512363825004</v>
      </c>
      <c r="G17" s="1" t="n">
        <v>0.0148148148148148</v>
      </c>
      <c r="H17" s="1" t="n">
        <v>0.0481751824817518</v>
      </c>
      <c r="I17" s="1" t="n">
        <v>0.0422609614368727</v>
      </c>
      <c r="J17" s="1" t="n">
        <v>0.0267519627798779</v>
      </c>
      <c r="K17" s="1" t="n">
        <v>0.108717948717949</v>
      </c>
      <c r="L17" s="3" t="n">
        <f aca="false">AVERAGE(B17:K17)</f>
        <v>0.05464404252557</v>
      </c>
      <c r="M17" s="3" t="n">
        <f aca="false">STDEV(B17:H17)</f>
        <v>0.0268373568434156</v>
      </c>
    </row>
    <row r="18" customFormat="false" ht="12.8" hidden="false" customHeight="false" outlineLevel="0" collapsed="false">
      <c r="A18" s="1" t="s">
        <v>16</v>
      </c>
      <c r="B18" s="1" t="n">
        <v>0.0349492671927847</v>
      </c>
      <c r="C18" s="1" t="n">
        <v>0.0420271940667491</v>
      </c>
      <c r="D18" s="1" t="n">
        <v>0.0521945432977461</v>
      </c>
      <c r="E18" s="1" t="n">
        <v>0.0776143790849673</v>
      </c>
      <c r="F18" s="1" t="n">
        <v>0.0396341463414634</v>
      </c>
      <c r="G18" s="1" t="n">
        <v>0.067476383265857</v>
      </c>
      <c r="H18" s="1" t="n">
        <v>0.0723472668810289</v>
      </c>
      <c r="I18" s="1" t="n">
        <v>0.0778715120051914</v>
      </c>
      <c r="J18" s="1" t="n">
        <v>0.044589450788472</v>
      </c>
      <c r="K18" s="1" t="n">
        <v>0.0599369085173502</v>
      </c>
      <c r="L18" s="3" t="n">
        <f aca="false">AVERAGE(B18:K18)</f>
        <v>0.056864105144161</v>
      </c>
      <c r="M18" s="3" t="n">
        <f aca="false">STDEV(B18:H18)</f>
        <v>0.0172340882634111</v>
      </c>
    </row>
    <row r="19" customFormat="false" ht="12.8" hidden="false" customHeight="false" outlineLevel="0" collapsed="false">
      <c r="L19" s="3"/>
      <c r="M19" s="3"/>
    </row>
    <row r="20" customFormat="false" ht="12.8" hidden="false" customHeight="false" outlineLevel="0" collapsed="false">
      <c r="A20" s="2" t="s">
        <v>17</v>
      </c>
      <c r="L20" s="3"/>
      <c r="M20" s="3"/>
    </row>
    <row r="21" customFormat="false" ht="12.8" hidden="false" customHeight="false" outlineLevel="0" collapsed="false">
      <c r="A21" s="2" t="s">
        <v>0</v>
      </c>
      <c r="B21" s="2" t="n">
        <v>1</v>
      </c>
      <c r="C21" s="2" t="n">
        <v>2</v>
      </c>
      <c r="D21" s="2" t="n">
        <v>3</v>
      </c>
      <c r="E21" s="2" t="n">
        <v>4</v>
      </c>
      <c r="F21" s="2" t="n">
        <v>5</v>
      </c>
      <c r="G21" s="2" t="n">
        <v>6</v>
      </c>
      <c r="H21" s="2" t="n">
        <v>7</v>
      </c>
      <c r="I21" s="2" t="n">
        <v>8</v>
      </c>
      <c r="J21" s="2" t="n">
        <v>9</v>
      </c>
      <c r="K21" s="2" t="n">
        <v>10</v>
      </c>
      <c r="L21" s="3"/>
      <c r="M21" s="3"/>
    </row>
    <row r="22" customFormat="false" ht="12.8" hidden="false" customHeight="false" outlineLevel="0" collapsed="false">
      <c r="A22" s="1" t="s">
        <v>11</v>
      </c>
      <c r="B22" s="1" t="n">
        <v>0.6875</v>
      </c>
      <c r="C22" s="1" t="n">
        <v>0.812979049565662</v>
      </c>
      <c r="D22" s="1" t="n">
        <v>0.842731505431971</v>
      </c>
      <c r="E22" s="1" t="n">
        <v>0.841507904337252</v>
      </c>
      <c r="F22" s="1" t="n">
        <v>0.706886045094455</v>
      </c>
      <c r="G22" s="1" t="n">
        <v>0.730535615681944</v>
      </c>
      <c r="H22" s="1" t="n">
        <v>0.807502061005771</v>
      </c>
      <c r="I22" s="1" t="n">
        <v>0.736754966887417</v>
      </c>
      <c r="J22" s="1" t="n">
        <v>0.740860215053763</v>
      </c>
      <c r="K22" s="1" t="n">
        <v>0.803542009884679</v>
      </c>
      <c r="L22" s="3" t="n">
        <f aca="false">AVERAGE(B22:K22)</f>
        <v>0.771079937294291</v>
      </c>
      <c r="M22" s="3" t="n">
        <f aca="false">STDEV(B22:H22)</f>
        <v>0.0655482190442603</v>
      </c>
    </row>
    <row r="23" customFormat="false" ht="12.8" hidden="false" customHeight="false" outlineLevel="0" collapsed="false">
      <c r="A23" s="1" t="s">
        <v>12</v>
      </c>
      <c r="B23" s="1" t="n">
        <v>0.0799744081893794</v>
      </c>
      <c r="C23" s="1" t="n">
        <v>0.0886214442013129</v>
      </c>
      <c r="D23" s="1" t="n">
        <v>0.110734463276836</v>
      </c>
      <c r="E23" s="1" t="n">
        <v>0.0687103594080338</v>
      </c>
      <c r="F23" s="1" t="n">
        <v>0.0217948717948718</v>
      </c>
      <c r="G23" s="1" t="n">
        <v>0.04075135307227</v>
      </c>
      <c r="H23" s="1" t="n">
        <v>0.043607532210109</v>
      </c>
      <c r="I23" s="1" t="n">
        <v>0.0417163289630513</v>
      </c>
      <c r="J23" s="1" t="n">
        <v>0.0609195402298851</v>
      </c>
      <c r="K23" s="1" t="n">
        <v>0.0541213768115942</v>
      </c>
      <c r="L23" s="3" t="n">
        <f aca="false">AVERAGE(B23:K23)</f>
        <v>0.0610951678157344</v>
      </c>
      <c r="M23" s="3" t="n">
        <f aca="false">STDEV(B23:H23)</f>
        <v>0.0310908303161152</v>
      </c>
    </row>
    <row r="24" customFormat="false" ht="12.8" hidden="false" customHeight="false" outlineLevel="0" collapsed="false">
      <c r="A24" s="1" t="s">
        <v>13</v>
      </c>
      <c r="B24" s="1" t="n">
        <v>0.0905432595573441</v>
      </c>
      <c r="C24" s="1" t="n">
        <v>0.0634674922600619</v>
      </c>
      <c r="D24" s="1" t="n">
        <v>0.0359254206457481</v>
      </c>
      <c r="E24" s="1" t="n">
        <v>0</v>
      </c>
      <c r="F24" s="1" t="n">
        <v>0.0693374422187982</v>
      </c>
      <c r="G24" s="1" t="n">
        <v>0.0603448275862069</v>
      </c>
      <c r="H24" s="1" t="n">
        <v>0.0383863080684597</v>
      </c>
      <c r="I24" s="1" t="n">
        <v>0.0648289943848903</v>
      </c>
      <c r="J24" s="1" t="n">
        <v>0.0756154747948417</v>
      </c>
      <c r="K24" s="1" t="n">
        <v>0.0751802265705458</v>
      </c>
      <c r="L24" s="3" t="n">
        <f aca="false">AVERAGE(B24:K24)</f>
        <v>0.0573629446086897</v>
      </c>
      <c r="M24" s="3" t="n">
        <f aca="false">STDEV(B24:H24)</f>
        <v>0.0292400959832663</v>
      </c>
    </row>
    <row r="25" customFormat="false" ht="12.8" hidden="false" customHeight="false" outlineLevel="0" collapsed="false">
      <c r="A25" s="1" t="s">
        <v>14</v>
      </c>
      <c r="B25" s="1" t="n">
        <v>0.0658682634730539</v>
      </c>
      <c r="C25" s="1" t="n">
        <v>0.0261293179805137</v>
      </c>
      <c r="D25" s="1" t="n">
        <v>0.0151033386327504</v>
      </c>
      <c r="E25" s="1" t="n">
        <v>0.104790419161677</v>
      </c>
      <c r="F25" s="1" t="n">
        <v>0.0636237897648686</v>
      </c>
      <c r="G25" s="1" t="n">
        <v>0.0490148966842864</v>
      </c>
      <c r="H25" s="1" t="n">
        <v>0.0484330484330484</v>
      </c>
      <c r="I25" s="1" t="n">
        <v>0.011752506049084</v>
      </c>
      <c r="J25" s="1" t="n">
        <v>0.0428422152560084</v>
      </c>
      <c r="K25" s="1" t="n">
        <v>0.0472016183412003</v>
      </c>
      <c r="L25" s="3" t="n">
        <f aca="false">AVERAGE(B25:K25)</f>
        <v>0.0474759413776491</v>
      </c>
      <c r="M25" s="3" t="n">
        <f aca="false">STDEV(B25:H25)</f>
        <v>0.0293117800491186</v>
      </c>
    </row>
    <row r="26" customFormat="false" ht="12.8" hidden="false" customHeight="false" outlineLevel="0" collapsed="false">
      <c r="A26" s="1" t="s">
        <v>15</v>
      </c>
      <c r="B26" s="1" t="n">
        <v>0.0577871740662438</v>
      </c>
      <c r="C26" s="1" t="n">
        <v>0.01875</v>
      </c>
      <c r="D26" s="1" t="n">
        <v>0.0413135593220339</v>
      </c>
      <c r="E26" s="1" t="n">
        <v>0.0391779062299294</v>
      </c>
      <c r="F26" s="1" t="n">
        <v>0.0286554004408523</v>
      </c>
      <c r="G26" s="1" t="n">
        <v>0.00918079096045198</v>
      </c>
      <c r="H26" s="1" t="n">
        <v>0.032007759456838</v>
      </c>
      <c r="I26" s="1" t="n">
        <v>0.0257400257400257</v>
      </c>
      <c r="J26" s="1" t="n">
        <v>0.0148387096774194</v>
      </c>
      <c r="K26" s="1" t="n">
        <v>0.0833333333333333</v>
      </c>
      <c r="L26" s="3" t="n">
        <f aca="false">AVERAGE(B26:K26)</f>
        <v>0.0350784659227128</v>
      </c>
      <c r="M26" s="3" t="n">
        <f aca="false">STDEV(B26:H26)</f>
        <v>0.0158615334161771</v>
      </c>
    </row>
    <row r="27" customFormat="false" ht="12.8" hidden="false" customHeight="false" outlineLevel="0" collapsed="false">
      <c r="A27" s="1" t="s">
        <v>16</v>
      </c>
      <c r="B27" s="1" t="n">
        <v>0.0184964200477327</v>
      </c>
      <c r="C27" s="1" t="n">
        <v>0.0256797583081571</v>
      </c>
      <c r="D27" s="1" t="n">
        <v>0.0400728597449909</v>
      </c>
      <c r="E27" s="1" t="n">
        <v>0.0441039925719592</v>
      </c>
      <c r="F27" s="1" t="n">
        <v>0.0232974910394265</v>
      </c>
      <c r="G27" s="1" t="n">
        <v>0.0421940928270042</v>
      </c>
      <c r="H27" s="1" t="n">
        <v>0.0473684210526316</v>
      </c>
      <c r="I27" s="1" t="n">
        <v>0.0481154771451484</v>
      </c>
      <c r="J27" s="1" t="n">
        <v>0.026537216828479</v>
      </c>
      <c r="K27" s="1" t="n">
        <v>0.0390143737166324</v>
      </c>
      <c r="L27" s="3" t="n">
        <f aca="false">AVERAGE(B27:K27)</f>
        <v>0.0354880103282162</v>
      </c>
      <c r="M27" s="3" t="n">
        <f aca="false">STDEV(B27:H27)</f>
        <v>0.0116008939425602</v>
      </c>
    </row>
    <row r="28" customFormat="false" ht="12.8" hidden="false" customHeight="false" outlineLevel="0" collapsed="false">
      <c r="L28" s="3"/>
      <c r="M28" s="3"/>
    </row>
    <row r="29" customFormat="false" ht="12.8" hidden="false" customHeight="false" outlineLevel="0" collapsed="false">
      <c r="A29" s="2" t="s">
        <v>18</v>
      </c>
      <c r="L29" s="3"/>
      <c r="M29" s="3"/>
    </row>
    <row r="30" customFormat="false" ht="12.8" hidden="false" customHeight="false" outlineLevel="0" collapsed="false">
      <c r="A30" s="2" t="s">
        <v>0</v>
      </c>
      <c r="B30" s="2" t="n">
        <v>1</v>
      </c>
      <c r="C30" s="2" t="n">
        <v>2</v>
      </c>
      <c r="D30" s="2" t="n">
        <v>3</v>
      </c>
      <c r="E30" s="2" t="n">
        <v>4</v>
      </c>
      <c r="F30" s="2" t="n">
        <v>5</v>
      </c>
      <c r="G30" s="2" t="n">
        <v>6</v>
      </c>
      <c r="H30" s="2" t="n">
        <v>7</v>
      </c>
      <c r="I30" s="2" t="n">
        <v>8</v>
      </c>
      <c r="J30" s="2" t="n">
        <v>9</v>
      </c>
      <c r="K30" s="2" t="n">
        <v>10</v>
      </c>
      <c r="L30" s="3"/>
      <c r="M30" s="3"/>
    </row>
    <row r="31" customFormat="false" ht="12.8" hidden="false" customHeight="false" outlineLevel="0" collapsed="false">
      <c r="A31" s="1" t="s">
        <v>11</v>
      </c>
      <c r="B31" s="1" t="n">
        <v>0.0858674123266923</v>
      </c>
      <c r="C31" s="1" t="n">
        <v>0.185366421996971</v>
      </c>
      <c r="D31" s="1" t="n">
        <v>0.189793778399161</v>
      </c>
      <c r="E31" s="1" t="n">
        <v>0.483746941628801</v>
      </c>
      <c r="F31" s="1" t="n">
        <v>0.135150879645812</v>
      </c>
      <c r="G31" s="1" t="n">
        <v>0.15415986949429</v>
      </c>
      <c r="H31" s="1" t="n">
        <v>0.228268468888371</v>
      </c>
      <c r="I31" s="1" t="n">
        <v>0.207386694628918</v>
      </c>
      <c r="J31" s="1" t="n">
        <v>0.160549924268904</v>
      </c>
      <c r="K31" s="1" t="n">
        <v>0.227309798438774</v>
      </c>
      <c r="L31" s="3" t="n">
        <f aca="false">AVERAGE(B31:K31)</f>
        <v>0.205760018971669</v>
      </c>
      <c r="M31" s="3" t="n">
        <f aca="false">STDEV(B31:K31)</f>
        <v>0.106972288189243</v>
      </c>
    </row>
    <row r="32" customFormat="false" ht="12.8" hidden="false" customHeight="false" outlineLevel="0" collapsed="false">
      <c r="A32" s="1" t="s">
        <v>12</v>
      </c>
      <c r="B32" s="1" t="n">
        <v>0.192901234567901</v>
      </c>
      <c r="C32" s="1" t="n">
        <v>0.25</v>
      </c>
      <c r="D32" s="1" t="n">
        <v>0.151234567901235</v>
      </c>
      <c r="E32" s="1" t="n">
        <v>0.200617283950617</v>
      </c>
      <c r="F32" s="1" t="n">
        <v>0.0261136712749616</v>
      </c>
      <c r="G32" s="1" t="n">
        <v>0.197530864197531</v>
      </c>
      <c r="H32" s="1" t="n">
        <v>0.0679012345679012</v>
      </c>
      <c r="I32" s="1" t="n">
        <v>0.0540123456790123</v>
      </c>
      <c r="J32" s="1" t="n">
        <v>0.16358024691358</v>
      </c>
      <c r="K32" s="1" t="n">
        <v>0.368827160493827</v>
      </c>
      <c r="L32" s="3" t="n">
        <f aca="false">AVERAGE(B32:K32)</f>
        <v>0.167271860954657</v>
      </c>
      <c r="M32" s="3" t="n">
        <f aca="false">STDEV(B32:K32)</f>
        <v>0.101681184510649</v>
      </c>
    </row>
    <row r="33" customFormat="false" ht="12.8" hidden="false" customHeight="false" outlineLevel="0" collapsed="false">
      <c r="A33" s="1" t="s">
        <v>13</v>
      </c>
      <c r="B33" s="1" t="n">
        <v>0.144230769230769</v>
      </c>
      <c r="C33" s="1" t="n">
        <v>0.0657051282051282</v>
      </c>
      <c r="D33" s="1" t="n">
        <v>0.253205128205128</v>
      </c>
      <c r="E33" s="1" t="n">
        <v>0</v>
      </c>
      <c r="F33" s="1" t="n">
        <v>0.0721153846153846</v>
      </c>
      <c r="G33" s="1" t="n">
        <v>0.123993558776167</v>
      </c>
      <c r="H33" s="1" t="n">
        <v>0.251602564102564</v>
      </c>
      <c r="I33" s="1" t="n">
        <v>0.203525641025641</v>
      </c>
      <c r="J33" s="1" t="n">
        <v>0.206730769230769</v>
      </c>
      <c r="K33" s="1" t="n">
        <v>0.116987179487179</v>
      </c>
      <c r="L33" s="3" t="n">
        <f aca="false">AVERAGE(B33:K33)</f>
        <v>0.143809612287873</v>
      </c>
      <c r="M33" s="3" t="n">
        <f aca="false">STDEV(B33:K33)</f>
        <v>0.084423304441922</v>
      </c>
    </row>
    <row r="34" customFormat="false" ht="12.8" hidden="false" customHeight="false" outlineLevel="0" collapsed="false">
      <c r="A34" s="1" t="s">
        <v>14</v>
      </c>
      <c r="B34" s="1" t="n">
        <v>0.130952380952381</v>
      </c>
      <c r="C34" s="1" t="n">
        <v>0.280952380952381</v>
      </c>
      <c r="D34" s="1" t="n">
        <v>0.0452380952380952</v>
      </c>
      <c r="E34" s="1" t="n">
        <v>0.0833333333333333</v>
      </c>
      <c r="F34" s="1" t="n">
        <v>0.10952380952381</v>
      </c>
      <c r="G34" s="1" t="n">
        <v>0.24113475177305</v>
      </c>
      <c r="H34" s="1" t="n">
        <v>0.160756501182033</v>
      </c>
      <c r="I34" s="1" t="n">
        <v>0.080952380952381</v>
      </c>
      <c r="J34" s="1" t="n">
        <v>0.0976190476190476</v>
      </c>
      <c r="K34" s="1" t="n">
        <v>0.166666666666667</v>
      </c>
      <c r="L34" s="3" t="n">
        <f aca="false">AVERAGE(B34:K34)</f>
        <v>0.139712934819318</v>
      </c>
      <c r="M34" s="3" t="n">
        <f aca="false">STDEV(B34:K34)</f>
        <v>0.0743275669228894</v>
      </c>
    </row>
    <row r="35" customFormat="false" ht="12.8" hidden="false" customHeight="false" outlineLevel="0" collapsed="false">
      <c r="A35" s="1" t="s">
        <v>15</v>
      </c>
      <c r="B35" s="1" t="n">
        <v>0.239766081871345</v>
      </c>
      <c r="C35" s="1" t="n">
        <v>0.0350877192982456</v>
      </c>
      <c r="D35" s="1" t="n">
        <v>0.228070175438596</v>
      </c>
      <c r="E35" s="1" t="n">
        <v>0.178362573099415</v>
      </c>
      <c r="F35" s="1" t="n">
        <v>0.460176991150442</v>
      </c>
      <c r="G35" s="1" t="n">
        <v>0.0383480825958702</v>
      </c>
      <c r="H35" s="1" t="n">
        <v>0.0973451327433628</v>
      </c>
      <c r="I35" s="1" t="n">
        <v>0.117994100294985</v>
      </c>
      <c r="J35" s="1" t="n">
        <v>0.135693215339233</v>
      </c>
      <c r="K35" s="1" t="n">
        <v>0.156342182890855</v>
      </c>
      <c r="L35" s="3" t="n">
        <f aca="false">AVERAGE(B35:K35)</f>
        <v>0.168718625472235</v>
      </c>
      <c r="M35" s="3" t="n">
        <f aca="false">STDEV(B35:K35)</f>
        <v>0.123547578191471</v>
      </c>
    </row>
    <row r="36" customFormat="false" ht="12.8" hidden="false" customHeight="false" outlineLevel="0" collapsed="false">
      <c r="A36" s="1" t="s">
        <v>16</v>
      </c>
      <c r="B36" s="1" t="n">
        <v>0.316326530612245</v>
      </c>
      <c r="C36" s="1" t="n">
        <v>0.115646258503401</v>
      </c>
      <c r="D36" s="1" t="n">
        <v>0.0748299319727891</v>
      </c>
      <c r="E36" s="1" t="n">
        <v>0.32312925170068</v>
      </c>
      <c r="F36" s="1" t="n">
        <v>0.13265306122449</v>
      </c>
      <c r="G36" s="1" t="n">
        <v>0.168350168350168</v>
      </c>
      <c r="H36" s="1" t="n">
        <v>0.153061224489796</v>
      </c>
      <c r="I36" s="1" t="n">
        <v>0.204081632653061</v>
      </c>
      <c r="J36" s="1" t="n">
        <v>0.139455782312925</v>
      </c>
      <c r="K36" s="1" t="n">
        <v>0.129251700680272</v>
      </c>
      <c r="L36" s="3" t="n">
        <f aca="false">AVERAGE(B36:K36)</f>
        <v>0.175678554249983</v>
      </c>
      <c r="M36" s="3" t="n">
        <f aca="false">STDEV(B36:K36)</f>
        <v>0.0829917005748386</v>
      </c>
    </row>
    <row r="37" customFormat="false" ht="12.8" hidden="false" customHeight="false" outlineLevel="0" collapsed="false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customFormat="false" ht="12.8" hidden="false" customHeight="false" outlineLevel="0" collapsed="false">
      <c r="L38" s="3"/>
      <c r="M38" s="3"/>
    </row>
    <row r="39" customFormat="false" ht="12.8" hidden="false" customHeight="false" outlineLevel="0" collapsed="false">
      <c r="L39" s="3"/>
      <c r="M3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11" activeCellId="0" sqref="H11"/>
    </sheetView>
  </sheetViews>
  <sheetFormatPr defaultColWidth="11.53515625" defaultRowHeight="12.8" zeroHeight="false" outlineLevelRow="0" outlineLevelCol="0"/>
  <cols>
    <col collapsed="false" customWidth="true" hidden="false" outlineLevel="0" max="3" min="2" style="1" width="14.6"/>
    <col collapsed="false" customWidth="true" hidden="false" outlineLevel="0" max="5" min="4" style="1" width="14.14"/>
    <col collapsed="false" customWidth="true" hidden="false" outlineLevel="0" max="7" min="6" style="1" width="13.91"/>
  </cols>
  <sheetData>
    <row r="1" customFormat="false" ht="12.8" hidden="false" customHeight="false" outlineLevel="0" collapsed="false">
      <c r="C1" s="4" t="s">
        <v>19</v>
      </c>
      <c r="D1" s="4"/>
      <c r="E1" s="4"/>
      <c r="F1" s="4"/>
      <c r="G1" s="4"/>
    </row>
    <row r="2" customFormat="false" ht="12.8" hidden="false" customHeight="false" outlineLevel="0" collapsed="false">
      <c r="B2" s="4" t="s">
        <v>20</v>
      </c>
      <c r="C2" s="4"/>
      <c r="D2" s="4" t="s">
        <v>21</v>
      </c>
      <c r="E2" s="4"/>
      <c r="F2" s="4" t="s">
        <v>22</v>
      </c>
      <c r="G2" s="4"/>
    </row>
    <row r="3" customFormat="false" ht="12.8" hidden="false" customHeight="false" outlineLevel="0" collapsed="false">
      <c r="B3" s="1" t="s">
        <v>23</v>
      </c>
      <c r="C3" s="1" t="s">
        <v>24</v>
      </c>
      <c r="D3" s="1" t="s">
        <v>23</v>
      </c>
      <c r="E3" s="1" t="s">
        <v>24</v>
      </c>
      <c r="F3" s="1" t="s">
        <v>23</v>
      </c>
      <c r="G3" s="1" t="s">
        <v>24</v>
      </c>
    </row>
    <row r="4" customFormat="false" ht="12.8" hidden="false" customHeight="false" outlineLevel="0" collapsed="false">
      <c r="A4" s="2" t="s">
        <v>11</v>
      </c>
      <c r="B4" s="5" t="n">
        <f aca="false">'RGCN per fold'!L22</f>
        <v>0.771079937294291</v>
      </c>
      <c r="C4" s="5" t="n">
        <f aca="false">'RGCN per fold'!M22</f>
        <v>0.0655482190442603</v>
      </c>
      <c r="D4" s="3" t="n">
        <f aca="false">'RGCN per fold'!L31</f>
        <v>0.205760018971669</v>
      </c>
      <c r="E4" s="3" t="n">
        <f aca="false">'RGCN per fold'!M31</f>
        <v>0.106972288189243</v>
      </c>
      <c r="F4" s="3" t="n">
        <f aca="false">'RGCN per fold'!L13</f>
        <v>0.315809765105391</v>
      </c>
      <c r="G4" s="3" t="n">
        <f aca="false">'RGCN per fold'!M13</f>
        <v>0.146752556219858</v>
      </c>
    </row>
    <row r="5" customFormat="false" ht="12.8" hidden="false" customHeight="false" outlineLevel="0" collapsed="false">
      <c r="A5" s="2" t="s">
        <v>12</v>
      </c>
      <c r="B5" s="5" t="n">
        <f aca="false">'RGCN per fold'!L23</f>
        <v>0.0610951678157344</v>
      </c>
      <c r="C5" s="5" t="n">
        <f aca="false">'RGCN per fold'!M23</f>
        <v>0.0310908303161152</v>
      </c>
      <c r="D5" s="3" t="n">
        <f aca="false">'RGCN per fold'!L32</f>
        <v>0.167271860954657</v>
      </c>
      <c r="E5" s="3" t="n">
        <f aca="false">'RGCN per fold'!M32</f>
        <v>0.101681184510649</v>
      </c>
      <c r="F5" s="3" t="n">
        <f aca="false">'RGCN per fold'!L14</f>
        <v>0.0848818602101236</v>
      </c>
      <c r="G5" s="3" t="n">
        <f aca="false">'RGCN per fold'!M14</f>
        <v>0.0408672166167985</v>
      </c>
    </row>
    <row r="6" customFormat="false" ht="12.8" hidden="false" customHeight="false" outlineLevel="0" collapsed="false">
      <c r="A6" s="2" t="s">
        <v>13</v>
      </c>
      <c r="B6" s="5" t="n">
        <f aca="false">'RGCN per fold'!L24</f>
        <v>0.0573629446086897</v>
      </c>
      <c r="C6" s="5" t="n">
        <f aca="false">'RGCN per fold'!M24</f>
        <v>0.0292400959832663</v>
      </c>
      <c r="D6" s="3" t="n">
        <f aca="false">'RGCN per fold'!L33</f>
        <v>0.143809612287873</v>
      </c>
      <c r="E6" s="3" t="n">
        <f aca="false">'RGCN per fold'!M33</f>
        <v>0.084423304441922</v>
      </c>
      <c r="F6" s="3" t="n">
        <f aca="false">'RGCN per fold'!L15</f>
        <v>0.0757829500455247</v>
      </c>
      <c r="G6" s="3" t="n">
        <f aca="false">'RGCN per fold'!M15</f>
        <v>0.0333281718107781</v>
      </c>
    </row>
    <row r="7" customFormat="false" ht="12.8" hidden="false" customHeight="false" outlineLevel="0" collapsed="false">
      <c r="A7" s="2" t="s">
        <v>14</v>
      </c>
      <c r="B7" s="5" t="n">
        <f aca="false">'RGCN per fold'!L25</f>
        <v>0.0474759413776491</v>
      </c>
      <c r="C7" s="5" t="n">
        <f aca="false">'RGCN per fold'!M25</f>
        <v>0.0293117800491186</v>
      </c>
      <c r="D7" s="3" t="n">
        <f aca="false">'RGCN per fold'!L34</f>
        <v>0.139712934819318</v>
      </c>
      <c r="E7" s="3" t="n">
        <f aca="false">'RGCN per fold'!M34</f>
        <v>0.0743275669228894</v>
      </c>
      <c r="F7" s="3" t="n">
        <f aca="false">'RGCN per fold'!L16</f>
        <v>0.06409871576697</v>
      </c>
      <c r="G7" s="3" t="n">
        <f aca="false">'RGCN per fold'!M16</f>
        <v>0.0252589302981582</v>
      </c>
    </row>
    <row r="8" customFormat="false" ht="12.8" hidden="false" customHeight="false" outlineLevel="0" collapsed="false">
      <c r="A8" s="2" t="s">
        <v>15</v>
      </c>
      <c r="B8" s="5" t="n">
        <f aca="false">'RGCN per fold'!L26</f>
        <v>0.0350784659227128</v>
      </c>
      <c r="C8" s="5" t="n">
        <f aca="false">'RGCN per fold'!M26</f>
        <v>0.0158615334161771</v>
      </c>
      <c r="D8" s="3" t="n">
        <f aca="false">'RGCN per fold'!L35</f>
        <v>0.168718625472235</v>
      </c>
      <c r="E8" s="3" t="n">
        <f aca="false">'RGCN per fold'!M35</f>
        <v>0.123547578191471</v>
      </c>
      <c r="F8" s="3" t="n">
        <f aca="false">'RGCN per fold'!L17</f>
        <v>0.05464404252557</v>
      </c>
      <c r="G8" s="3" t="n">
        <f aca="false">'RGCN per fold'!M17</f>
        <v>0.0268373568434156</v>
      </c>
    </row>
    <row r="9" customFormat="false" ht="12.8" hidden="false" customHeight="false" outlineLevel="0" collapsed="false">
      <c r="A9" s="2" t="s">
        <v>16</v>
      </c>
      <c r="B9" s="5" t="n">
        <f aca="false">'RGCN per fold'!L27</f>
        <v>0.0354880103282162</v>
      </c>
      <c r="C9" s="5" t="n">
        <f aca="false">'RGCN per fold'!M27</f>
        <v>0.0116008939425602</v>
      </c>
      <c r="D9" s="3" t="n">
        <f aca="false">'RGCN per fold'!L36</f>
        <v>0.175678554249983</v>
      </c>
      <c r="E9" s="3" t="n">
        <f aca="false">'RGCN per fold'!M36</f>
        <v>0.0829917005748386</v>
      </c>
      <c r="F9" s="3" t="n">
        <f aca="false">'RGCN per fold'!L18</f>
        <v>0.056864105144161</v>
      </c>
      <c r="G9" s="3" t="n">
        <f aca="false">'RGCN per fold'!M18</f>
        <v>0.0172340882634111</v>
      </c>
    </row>
  </sheetData>
  <mergeCells count="4">
    <mergeCell ref="C1:G1"/>
    <mergeCell ref="B2:C2"/>
    <mergeCell ref="D2:E2"/>
    <mergeCell ref="F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2026-07-08T17:46:23Z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