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GCN per fold POS" sheetId="1" state="visible" r:id="rId3"/>
    <sheet name="FINAL OVERALL RESULTS TABL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<sst xmlns="http://schemas.openxmlformats.org/spreadsheetml/2006/main" count="49" uniqueCount="25">
  <si>
    <t xml:space="preserve">FOLD</t>
  </si>
  <si>
    <t xml:space="preserve">AVERAGE</t>
  </si>
  <si>
    <t xml:space="preserve">STD DEVIATION</t>
  </si>
  <si>
    <t xml:space="preserve">Prec</t>
  </si>
  <si>
    <t xml:space="preserve">Recall</t>
  </si>
  <si>
    <t xml:space="preserve">F-Score</t>
  </si>
  <si>
    <t xml:space="preserve">Average</t>
  </si>
  <si>
    <t xml:space="preserve">Precision:</t>
  </si>
  <si>
    <t xml:space="preserve">Recall:</t>
  </si>
  <si>
    <t xml:space="preserve">F1-score:</t>
  </si>
  <si>
    <t xml:space="preserve">F-SCORES PER CLASS PER FOLD</t>
  </si>
  <si>
    <t xml:space="preserve">Class 1</t>
  </si>
  <si>
    <t xml:space="preserve">Class 2</t>
  </si>
  <si>
    <t xml:space="preserve">Class 3</t>
  </si>
  <si>
    <t xml:space="preserve">Class 4</t>
  </si>
  <si>
    <t xml:space="preserve">Class 5</t>
  </si>
  <si>
    <t xml:space="preserve">PREC PER CLASS PER FOLD</t>
  </si>
  <si>
    <t xml:space="preserve">REC PER CLASS PER FOLD</t>
  </si>
  <si>
    <t xml:space="preserve">ONLY POSITIVES (EXCLUDE NEGATIVE CLASS)</t>
  </si>
  <si>
    <t xml:space="preserve">RGCN</t>
  </si>
  <si>
    <t xml:space="preserve">PRECISION</t>
  </si>
  <si>
    <t xml:space="preserve">RECALL</t>
  </si>
  <si>
    <t xml:space="preserve">F1-score</t>
  </si>
  <si>
    <t xml:space="preserve">avg</t>
  </si>
  <si>
    <t xml:space="preserve">std.dev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</si>
</sst>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5.18"/>
    <col collapsed="false" customWidth="true" hidden="false" outlineLevel="0" max="3" min="3" style="1" width="26.43"/>
    <col collapsed="false" customWidth="true" hidden="false" outlineLevel="0" max="12" min="12" style="1" width="21.44"/>
    <col collapsed="false" customWidth="true" hidden="false" outlineLevel="0" max="13" min="13" style="1" width="20.28"/>
  </cols>
  <sheetData>
    <row r="1" customFormat="false" ht="12.8" hidden="false" customHeight="false" outlineLevel="0" collapsed="false">
      <c r="A1" s="2" t="s">
        <v>0</v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s">
        <v>1</v>
      </c>
      <c r="M1" s="2" t="s">
        <v>2</v>
      </c>
    </row>
    <row r="2" customFormat="false" ht="12.8" hidden="false" customHeight="false" outlineLevel="0" collapsed="false">
      <c r="A2" s="2" t="s">
        <v>3</v>
      </c>
      <c r="B2" s="3"/>
      <c r="C2" s="3"/>
      <c r="D2" s="3"/>
      <c r="E2" s="3"/>
      <c r="F2" s="3"/>
      <c r="G2" s="3"/>
      <c r="H2" s="3"/>
      <c r="I2" s="3"/>
      <c r="J2" s="3"/>
      <c r="K2" s="3"/>
      <c r="L2" s="3" t="e">
        <f aca="false">AVERAGE(B2:K2)</f>
        <v>#DIV/0!</v>
      </c>
      <c r="M2" s="3" t="e">
        <f aca="false">STDEV(B2:H2)</f>
        <v>#DIV/0!</v>
      </c>
    </row>
    <row r="3" customFormat="false" ht="12.8" hidden="false" customHeight="false" outlineLevel="0" collapsed="false">
      <c r="A3" s="2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 t="e">
        <f aca="false">AVERAGE(B3:K3)</f>
        <v>#DIV/0!</v>
      </c>
      <c r="M3" s="3" t="e">
        <f aca="false">STDEV(B3:H3)</f>
        <v>#DIV/0!</v>
      </c>
    </row>
    <row r="4" customFormat="false" ht="12.8" hidden="false" customHeight="false" outlineLevel="0" collapsed="false">
      <c r="A4" s="2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 t="e">
        <f aca="false">AVERAGE(B4:K4)</f>
        <v>#DIV/0!</v>
      </c>
      <c r="M4" s="3" t="e">
        <f aca="false">STDEV(B4:H4)</f>
        <v>#DIV/0!</v>
      </c>
    </row>
    <row r="5" customFormat="false" ht="12.8" hidden="false" customHeight="false" outlineLevel="0" collapsed="false">
      <c r="L5" s="3"/>
      <c r="M5" s="3"/>
    </row>
    <row r="6" customFormat="false" ht="12.8" hidden="false" customHeight="false" outlineLevel="0" collapsed="false">
      <c r="A6" s="1" t="s">
        <v>6</v>
      </c>
      <c r="B6" s="1" t="s">
        <v>7</v>
      </c>
      <c r="C6" s="1" t="n">
        <v>0.1697883449751</v>
      </c>
      <c r="L6" s="3"/>
      <c r="M6" s="3"/>
    </row>
    <row r="7" customFormat="false" ht="12.8" hidden="false" customHeight="false" outlineLevel="0" collapsed="false">
      <c r="A7" s="1" t="s">
        <v>6</v>
      </c>
      <c r="B7" s="1" t="s">
        <v>8</v>
      </c>
      <c r="C7" s="1" t="n">
        <v>0.166359853520697</v>
      </c>
      <c r="L7" s="3"/>
      <c r="M7" s="3"/>
    </row>
    <row r="8" customFormat="false" ht="12.8" hidden="false" customHeight="false" outlineLevel="0" collapsed="false">
      <c r="A8" s="1" t="s">
        <v>6</v>
      </c>
      <c r="B8" s="1" t="s">
        <v>9</v>
      </c>
      <c r="C8" s="1" t="n">
        <v>0.161511593556818</v>
      </c>
      <c r="L8" s="3"/>
      <c r="M8" s="3"/>
    </row>
    <row r="9" customFormat="false" ht="12.8" hidden="false" customHeight="false" outlineLevel="0" collapsed="false">
      <c r="L9" s="3"/>
      <c r="M9" s="3"/>
    </row>
    <row r="10" customFormat="false" ht="12.8" hidden="false" customHeight="false" outlineLevel="0" collapsed="false">
      <c r="L10" s="3"/>
      <c r="M10" s="3"/>
    </row>
    <row r="11" customFormat="false" ht="12.8" hidden="false" customHeight="false" outlineLevel="0" collapsed="false">
      <c r="A11" s="2" t="s">
        <v>10</v>
      </c>
      <c r="L11" s="3"/>
      <c r="M11" s="3"/>
    </row>
    <row r="12" customFormat="false" ht="12.8" hidden="false" customHeight="false" outlineLevel="0" collapsed="false">
      <c r="A12" s="2" t="s">
        <v>0</v>
      </c>
      <c r="B12" s="2" t="n">
        <v>1</v>
      </c>
      <c r="C12" s="2" t="n">
        <v>2</v>
      </c>
      <c r="D12" s="2" t="n">
        <v>3</v>
      </c>
      <c r="E12" s="2" t="n">
        <v>4</v>
      </c>
      <c r="F12" s="2" t="n">
        <v>5</v>
      </c>
      <c r="G12" s="2" t="n">
        <v>6</v>
      </c>
      <c r="H12" s="2" t="n">
        <v>7</v>
      </c>
      <c r="I12" s="2" t="n">
        <v>8</v>
      </c>
      <c r="J12" s="2" t="n">
        <v>9</v>
      </c>
      <c r="K12" s="2" t="n">
        <v>10</v>
      </c>
      <c r="L12" s="3"/>
      <c r="M12" s="3"/>
    </row>
    <row r="13" customFormat="false" ht="12.8" hidden="false" customHeight="false" outlineLevel="0" collapsed="false">
      <c r="A13" s="1" t="s">
        <v>11</v>
      </c>
      <c r="B13" s="3" t="n">
        <v>0.233333333333333</v>
      </c>
      <c r="C13" s="3" t="n">
        <v>0.237691001697793</v>
      </c>
      <c r="D13" s="3" t="n">
        <v>0.164533820840951</v>
      </c>
      <c r="E13" s="3" t="n">
        <v>0.296240601503759</v>
      </c>
      <c r="F13" s="3" t="n">
        <v>0.27088402270884</v>
      </c>
      <c r="G13" s="3" t="n">
        <v>0.156368221941992</v>
      </c>
      <c r="H13" s="3" t="n">
        <v>0.315068493150685</v>
      </c>
      <c r="I13" s="3" t="n">
        <v>0.245142002989537</v>
      </c>
      <c r="J13" s="3" t="n">
        <v>0.333603238866397</v>
      </c>
      <c r="K13" s="3" t="n">
        <v>0.256615878107458</v>
      </c>
      <c r="L13" s="3" t="n">
        <f aca="false">AVERAGE(B13:K13)</f>
        <v>0.250948061514075</v>
      </c>
      <c r="M13" s="3" t="n">
        <f aca="false">STDEV(B13:H13)</f>
        <v>0.0612186806287841</v>
      </c>
    </row>
    <row r="14" customFormat="false" ht="12.8" hidden="false" customHeight="false" outlineLevel="0" collapsed="false">
      <c r="A14" s="1" t="s">
        <v>12</v>
      </c>
      <c r="B14" s="3" t="n">
        <v>0.306796116504854</v>
      </c>
      <c r="C14" s="3" t="n">
        <v>0.260450160771704</v>
      </c>
      <c r="D14" s="3" t="n">
        <v>0.151260504201681</v>
      </c>
      <c r="E14" s="3" t="n">
        <v>0.243291592128801</v>
      </c>
      <c r="F14" s="3" t="n">
        <v>0.249807247494217</v>
      </c>
      <c r="G14" s="3" t="n">
        <v>0.301945525291829</v>
      </c>
      <c r="H14" s="3" t="n">
        <v>0.241897233201581</v>
      </c>
      <c r="I14" s="3" t="n">
        <v>0.195462478184991</v>
      </c>
      <c r="J14" s="3" t="n">
        <v>0.212612612612613</v>
      </c>
      <c r="K14" s="3" t="n">
        <v>0.262015503875969</v>
      </c>
      <c r="L14" s="3" t="n">
        <f aca="false">AVERAGE(B14:K14)</f>
        <v>0.242553897426824</v>
      </c>
      <c r="M14" s="3" t="n">
        <f aca="false">STDEV(B14:H14)</f>
        <v>0.0514608012092115</v>
      </c>
    </row>
    <row r="15" customFormat="false" ht="12.8" hidden="false" customHeight="false" outlineLevel="0" collapsed="false">
      <c r="A15" s="1" t="s">
        <v>13</v>
      </c>
      <c r="B15" s="1" t="n">
        <v>0.213114754098361</v>
      </c>
      <c r="C15" s="1" t="n">
        <v>0.240422721268164</v>
      </c>
      <c r="D15" s="1" t="n">
        <v>0.277209302325581</v>
      </c>
      <c r="E15" s="1" t="n">
        <v>0.237536656891496</v>
      </c>
      <c r="F15" s="1" t="n">
        <v>0.158236057068742</v>
      </c>
      <c r="G15" s="1" t="n">
        <v>0.228488792480116</v>
      </c>
      <c r="H15" s="1" t="n">
        <v>0.0894039735099338</v>
      </c>
      <c r="I15" s="1" t="n">
        <v>0.116527942925089</v>
      </c>
      <c r="J15" s="1" t="n">
        <v>0.216619981325864</v>
      </c>
      <c r="K15" s="1" t="n">
        <v>0.113902847571189</v>
      </c>
      <c r="L15" s="3" t="n">
        <f aca="false">AVERAGE(B15:K15)</f>
        <v>0.189146302946454</v>
      </c>
      <c r="M15" s="3" t="n">
        <f aca="false">STDEV(B15:H15)</f>
        <v>0.0628249035971572</v>
      </c>
    </row>
    <row r="16" customFormat="false" ht="12.8" hidden="false" customHeight="false" outlineLevel="0" collapsed="false">
      <c r="A16" s="1" t="s">
        <v>14</v>
      </c>
      <c r="B16" s="1" t="n">
        <v>0.127659574468085</v>
      </c>
      <c r="C16" s="1" t="n">
        <v>0.0752532561505065</v>
      </c>
      <c r="D16" s="1" t="n">
        <v>0.245614035087719</v>
      </c>
      <c r="E16" s="1" t="n">
        <v>0.116991643454039</v>
      </c>
      <c r="F16" s="1" t="n">
        <v>0.181571815718157</v>
      </c>
      <c r="G16" s="1" t="n">
        <v>0.188957055214724</v>
      </c>
      <c r="H16" s="1" t="n">
        <v>0.0987370838117107</v>
      </c>
      <c r="I16" s="1" t="n">
        <v>0.0749279538904899</v>
      </c>
      <c r="J16" s="1" t="n">
        <v>0.313186813186813</v>
      </c>
      <c r="K16" s="1" t="n">
        <v>0.170031880977683</v>
      </c>
      <c r="L16" s="3" t="n">
        <f aca="false">AVERAGE(B16:K16)</f>
        <v>0.159293111195993</v>
      </c>
      <c r="M16" s="3" t="n">
        <f aca="false">STDEV(B16:H16)</f>
        <v>0.059759254083549</v>
      </c>
    </row>
    <row r="17" customFormat="false" ht="12.8" hidden="false" customHeight="false" outlineLevel="0" collapsed="false">
      <c r="A17" s="1" t="s">
        <v>15</v>
      </c>
      <c r="B17" s="1" t="n">
        <v>0.146788990825688</v>
      </c>
      <c r="C17" s="1" t="n">
        <v>0.0992366412213741</v>
      </c>
      <c r="D17" s="1" t="n">
        <v>0.206549118387909</v>
      </c>
      <c r="E17" s="1" t="n">
        <v>0.0693069306930693</v>
      </c>
      <c r="F17" s="1" t="n">
        <v>0.19773095623987</v>
      </c>
      <c r="G17" s="1" t="n">
        <v>0.0473684210526316</v>
      </c>
      <c r="H17" s="1" t="n">
        <v>0.160427807486631</v>
      </c>
      <c r="I17" s="1" t="n">
        <v>0.133122028526149</v>
      </c>
      <c r="J17" s="1" t="n">
        <v>0.075098814229249</v>
      </c>
      <c r="K17" s="1" t="n">
        <v>0.135652173913043</v>
      </c>
      <c r="L17" s="3" t="n">
        <f aca="false">AVERAGE(B17:K17)</f>
        <v>0.127128188257561</v>
      </c>
      <c r="M17" s="3" t="n">
        <f aca="false">STDEV(B17:H17)</f>
        <v>0.0620076431701105</v>
      </c>
    </row>
    <row r="18" customFormat="false" ht="12.8" hidden="false" customHeight="false" outlineLevel="0" collapsed="false">
      <c r="L18" s="3"/>
      <c r="M18" s="3"/>
    </row>
    <row r="19" customFormat="false" ht="12.8" hidden="false" customHeight="false" outlineLevel="0" collapsed="false">
      <c r="A19" s="2" t="s">
        <v>16</v>
      </c>
      <c r="L19" s="3"/>
      <c r="M19" s="3"/>
    </row>
    <row r="20" customFormat="false" ht="12.8" hidden="false" customHeight="false" outlineLevel="0" collapsed="false">
      <c r="A20" s="2" t="s">
        <v>0</v>
      </c>
      <c r="B20" s="2" t="n">
        <v>1</v>
      </c>
      <c r="C20" s="2" t="n">
        <v>2</v>
      </c>
      <c r="D20" s="2" t="n">
        <v>3</v>
      </c>
      <c r="E20" s="2" t="n">
        <v>4</v>
      </c>
      <c r="F20" s="2" t="n">
        <v>5</v>
      </c>
      <c r="G20" s="2" t="n">
        <v>6</v>
      </c>
      <c r="H20" s="2" t="n">
        <v>7</v>
      </c>
      <c r="I20" s="2" t="n">
        <v>8</v>
      </c>
      <c r="J20" s="2" t="n">
        <v>9</v>
      </c>
      <c r="K20" s="2" t="n">
        <v>10</v>
      </c>
      <c r="L20" s="3"/>
      <c r="M20" s="3"/>
    </row>
    <row r="21" customFormat="false" ht="12.8" hidden="false" customHeight="false" outlineLevel="0" collapsed="false">
      <c r="A21" s="1" t="s">
        <v>11</v>
      </c>
      <c r="B21" s="1" t="n">
        <v>0.31989247311828</v>
      </c>
      <c r="C21" s="1" t="n">
        <v>0.264150943396226</v>
      </c>
      <c r="D21" s="1" t="n">
        <v>0.201793721973094</v>
      </c>
      <c r="E21" s="1" t="n">
        <v>0.288856304985337</v>
      </c>
      <c r="F21" s="1" t="n">
        <v>0.286941580756014</v>
      </c>
      <c r="G21" s="1" t="n">
        <v>0.427586206896552</v>
      </c>
      <c r="H21" s="1" t="n">
        <v>0.353846153846154</v>
      </c>
      <c r="I21" s="1" t="n">
        <v>0.23768115942029</v>
      </c>
      <c r="J21" s="1" t="n">
        <v>0.350936967632027</v>
      </c>
      <c r="K21" s="1" t="n">
        <v>0.267111853088481</v>
      </c>
      <c r="L21" s="3" t="n">
        <f aca="false">AVERAGE(B21:K21)</f>
        <v>0.299879736511246</v>
      </c>
      <c r="M21" s="3" t="n">
        <f aca="false">STDEV(B21:H21)</f>
        <v>0.0713357317405017</v>
      </c>
    </row>
    <row r="22" customFormat="false" ht="12.8" hidden="false" customHeight="false" outlineLevel="0" collapsed="false">
      <c r="A22" s="1" t="s">
        <v>12</v>
      </c>
      <c r="B22" s="1" t="n">
        <v>0.257328990228013</v>
      </c>
      <c r="C22" s="1" t="n">
        <v>0.261290322580645</v>
      </c>
      <c r="D22" s="1" t="n">
        <v>0.219512195121951</v>
      </c>
      <c r="E22" s="1" t="n">
        <v>0.275303643724696</v>
      </c>
      <c r="F22" s="1" t="n">
        <v>0.240713224368499</v>
      </c>
      <c r="G22" s="1" t="n">
        <v>0.292168674698795</v>
      </c>
      <c r="H22" s="1" t="n">
        <v>0.238689547581903</v>
      </c>
      <c r="I22" s="1" t="n">
        <v>0.21455938697318</v>
      </c>
      <c r="J22" s="1" t="n">
        <v>0.242798353909465</v>
      </c>
      <c r="K22" s="1" t="n">
        <v>0.253753753753754</v>
      </c>
      <c r="L22" s="3" t="n">
        <f aca="false">AVERAGE(B22:K22)</f>
        <v>0.24961180929409</v>
      </c>
      <c r="M22" s="3" t="n">
        <f aca="false">STDEV(B22:H22)</f>
        <v>0.0243867032960097</v>
      </c>
    </row>
    <row r="23" customFormat="false" ht="12.8" hidden="false" customHeight="false" outlineLevel="0" collapsed="false">
      <c r="A23" s="1" t="s">
        <v>13</v>
      </c>
      <c r="B23" s="1" t="n">
        <v>0.25</v>
      </c>
      <c r="C23" s="1" t="n">
        <v>0.270029673590504</v>
      </c>
      <c r="D23" s="1" t="n">
        <v>0.227480916030534</v>
      </c>
      <c r="E23" s="1" t="n">
        <v>0.309160305343511</v>
      </c>
      <c r="F23" s="1" t="n">
        <v>0.173789173789174</v>
      </c>
      <c r="G23" s="1" t="n">
        <v>0.164583333333333</v>
      </c>
      <c r="H23" s="1" t="n">
        <v>0.149171270718232</v>
      </c>
      <c r="I23" s="1" t="n">
        <v>0.116389548693587</v>
      </c>
      <c r="J23" s="1" t="n">
        <v>0.178187403993856</v>
      </c>
      <c r="K23" s="1" t="n">
        <v>0.192090395480226</v>
      </c>
      <c r="L23" s="3" t="n">
        <f aca="false">AVERAGE(B23:K23)</f>
        <v>0.203088202097296</v>
      </c>
      <c r="M23" s="3" t="n">
        <f aca="false">STDEV(B23:H23)</f>
        <v>0.0600404184005183</v>
      </c>
    </row>
    <row r="24" customFormat="false" ht="12.8" hidden="false" customHeight="false" outlineLevel="0" collapsed="false">
      <c r="A24" s="1" t="s">
        <v>14</v>
      </c>
      <c r="B24" s="1" t="n">
        <v>0.12396694214876</v>
      </c>
      <c r="C24" s="1" t="n">
        <v>0.0744985673352436</v>
      </c>
      <c r="D24" s="1" t="n">
        <v>0.228070175438596</v>
      </c>
      <c r="E24" s="1" t="n">
        <v>0.111702127659574</v>
      </c>
      <c r="F24" s="1" t="n">
        <v>0.167919799498747</v>
      </c>
      <c r="G24" s="1" t="n">
        <v>0.161764705882353</v>
      </c>
      <c r="H24" s="1" t="n">
        <v>0.0808270676691729</v>
      </c>
      <c r="I24" s="1" t="n">
        <v>0.0732394366197183</v>
      </c>
      <c r="J24" s="1" t="n">
        <v>0.29305912596401</v>
      </c>
      <c r="K24" s="1" t="n">
        <v>0.132890365448505</v>
      </c>
      <c r="L24" s="3" t="n">
        <f aca="false">AVERAGE(B24:K24)</f>
        <v>0.144793831366468</v>
      </c>
      <c r="M24" s="3" t="n">
        <f aca="false">STDEV(B24:H24)</f>
        <v>0.054344213336152</v>
      </c>
    </row>
    <row r="25" customFormat="false" ht="12.8" hidden="false" customHeight="false" outlineLevel="0" collapsed="false">
      <c r="A25" s="1" t="s">
        <v>15</v>
      </c>
      <c r="B25" s="1" t="n">
        <v>0.133333333333333</v>
      </c>
      <c r="C25" s="1" t="n">
        <v>0.0792682926829268</v>
      </c>
      <c r="D25" s="1" t="n">
        <v>0.164</v>
      </c>
      <c r="E25" s="1" t="n">
        <v>0.0544747081712062</v>
      </c>
      <c r="F25" s="1" t="n">
        <v>0.188854489164087</v>
      </c>
      <c r="G25" s="1" t="n">
        <v>0.108433734939759</v>
      </c>
      <c r="H25" s="1" t="n">
        <v>0.13215859030837</v>
      </c>
      <c r="I25" s="1" t="n">
        <v>0.124629080118694</v>
      </c>
      <c r="J25" s="1" t="n">
        <v>0.089622641509434</v>
      </c>
      <c r="K25" s="1" t="n">
        <v>0.138790035587189</v>
      </c>
      <c r="L25" s="3" t="n">
        <f aca="false">AVERAGE(B25:K25)</f>
        <v>0.1213564905815</v>
      </c>
      <c r="M25" s="3" t="n">
        <f aca="false">STDEV(B25:H25)</f>
        <v>0.046598985568851</v>
      </c>
    </row>
    <row r="26" customFormat="false" ht="12.8" hidden="false" customHeight="false" outlineLevel="0" collapsed="false">
      <c r="L26" s="3"/>
      <c r="M26" s="3"/>
    </row>
    <row r="27" customFormat="false" ht="12.8" hidden="false" customHeight="false" outlineLevel="0" collapsed="false">
      <c r="A27" s="2" t="s">
        <v>17</v>
      </c>
      <c r="L27" s="3"/>
      <c r="M27" s="3"/>
    </row>
    <row r="28" customFormat="false" ht="12.8" hidden="false" customHeight="false" outlineLevel="0" collapsed="false">
      <c r="A28" s="2" t="s">
        <v>0</v>
      </c>
      <c r="B28" s="2" t="n">
        <v>1</v>
      </c>
      <c r="C28" s="2" t="n">
        <v>2</v>
      </c>
      <c r="D28" s="2" t="n">
        <v>3</v>
      </c>
      <c r="E28" s="2" t="n">
        <v>4</v>
      </c>
      <c r="F28" s="2" t="n">
        <v>5</v>
      </c>
      <c r="G28" s="2" t="n">
        <v>6</v>
      </c>
      <c r="H28" s="2" t="n">
        <v>7</v>
      </c>
      <c r="I28" s="2" t="n">
        <v>8</v>
      </c>
      <c r="J28" s="2" t="n">
        <v>9</v>
      </c>
      <c r="K28" s="2" t="n">
        <v>10</v>
      </c>
      <c r="L28" s="3"/>
      <c r="M28" s="3"/>
    </row>
    <row r="29" customFormat="false" ht="12.8" hidden="false" customHeight="false" outlineLevel="0" collapsed="false">
      <c r="A29" s="1" t="s">
        <v>11</v>
      </c>
      <c r="B29" s="1" t="n">
        <v>0.183641975308642</v>
      </c>
      <c r="C29" s="1" t="n">
        <v>0.216049382716049</v>
      </c>
      <c r="D29" s="1" t="n">
        <v>0.138888888888889</v>
      </c>
      <c r="E29" s="1" t="n">
        <v>0.304012345679012</v>
      </c>
      <c r="F29" s="1" t="n">
        <v>0.25652841781874</v>
      </c>
      <c r="G29" s="1" t="n">
        <v>0.095679012345679</v>
      </c>
      <c r="H29" s="1" t="n">
        <v>0.283950617283951</v>
      </c>
      <c r="I29" s="1" t="n">
        <v>0.253086419753086</v>
      </c>
      <c r="J29" s="1" t="n">
        <v>0.317901234567901</v>
      </c>
      <c r="K29" s="1" t="n">
        <v>0.246913580246914</v>
      </c>
      <c r="L29" s="3" t="n">
        <f aca="false">AVERAGE(B29:K29)</f>
        <v>0.229665187460886</v>
      </c>
      <c r="M29" s="3" t="n">
        <f aca="false">STDEV(B29:H29)</f>
        <v>0.0767228652791911</v>
      </c>
    </row>
    <row r="30" customFormat="false" ht="12.8" hidden="false" customHeight="false" outlineLevel="0" collapsed="false">
      <c r="A30" s="1" t="s">
        <v>12</v>
      </c>
      <c r="B30" s="1" t="n">
        <v>0.379807692307692</v>
      </c>
      <c r="C30" s="1" t="n">
        <v>0.259615384615385</v>
      </c>
      <c r="D30" s="1" t="n">
        <v>0.115384615384615</v>
      </c>
      <c r="E30" s="1" t="n">
        <v>0.217948717948718</v>
      </c>
      <c r="F30" s="1" t="n">
        <v>0.259615384615385</v>
      </c>
      <c r="G30" s="1" t="n">
        <v>0.312399355877617</v>
      </c>
      <c r="H30" s="1" t="n">
        <v>0.245192307692308</v>
      </c>
      <c r="I30" s="1" t="n">
        <v>0.17948717948718</v>
      </c>
      <c r="J30" s="1" t="n">
        <v>0.189102564102564</v>
      </c>
      <c r="K30" s="1" t="n">
        <v>0.270833333333333</v>
      </c>
      <c r="L30" s="3" t="n">
        <f aca="false">AVERAGE(B30:K30)</f>
        <v>0.24293865353648</v>
      </c>
      <c r="M30" s="3" t="n">
        <f aca="false">STDEV(B30:H30)</f>
        <v>0.0815190920366514</v>
      </c>
    </row>
    <row r="31" customFormat="false" ht="12.8" hidden="false" customHeight="false" outlineLevel="0" collapsed="false">
      <c r="A31" s="1" t="s">
        <v>13</v>
      </c>
      <c r="B31" s="1" t="n">
        <v>0.185714285714286</v>
      </c>
      <c r="C31" s="1" t="n">
        <v>0.216666666666667</v>
      </c>
      <c r="D31" s="1" t="n">
        <v>0.354761904761905</v>
      </c>
      <c r="E31" s="1" t="n">
        <v>0.192857142857143</v>
      </c>
      <c r="F31" s="1" t="n">
        <v>0.145238095238095</v>
      </c>
      <c r="G31" s="1" t="n">
        <v>0.373522458628842</v>
      </c>
      <c r="H31" s="1" t="n">
        <v>0.0638297872340426</v>
      </c>
      <c r="I31" s="1" t="n">
        <v>0.116666666666667</v>
      </c>
      <c r="J31" s="1" t="n">
        <v>0.276190476190476</v>
      </c>
      <c r="K31" s="1" t="n">
        <v>0.080952380952381</v>
      </c>
      <c r="L31" s="3" t="n">
        <f aca="false">AVERAGE(B31:K31)</f>
        <v>0.20063998649105</v>
      </c>
      <c r="M31" s="3" t="n">
        <f aca="false">STDEV(B31:H31)</f>
        <v>0.110772971097361</v>
      </c>
    </row>
    <row r="32" customFormat="false" ht="12.8" hidden="false" customHeight="false" outlineLevel="0" collapsed="false">
      <c r="A32" s="1" t="s">
        <v>14</v>
      </c>
      <c r="B32" s="1" t="n">
        <v>0.131578947368421</v>
      </c>
      <c r="C32" s="1" t="n">
        <v>0.0760233918128655</v>
      </c>
      <c r="D32" s="1" t="n">
        <v>0.266081871345029</v>
      </c>
      <c r="E32" s="1" t="n">
        <v>0.12280701754386</v>
      </c>
      <c r="F32" s="1" t="n">
        <v>0.1976401179941</v>
      </c>
      <c r="G32" s="1" t="n">
        <v>0.227138643067847</v>
      </c>
      <c r="H32" s="1" t="n">
        <v>0.126843657817109</v>
      </c>
      <c r="I32" s="1" t="n">
        <v>0.0766961651917404</v>
      </c>
      <c r="J32" s="1" t="n">
        <v>0.336283185840708</v>
      </c>
      <c r="K32" s="1" t="n">
        <v>0.235988200589971</v>
      </c>
      <c r="L32" s="3" t="n">
        <f aca="false">AVERAGE(B32:K32)</f>
        <v>0.179708119857165</v>
      </c>
      <c r="M32" s="3" t="n">
        <f aca="false">STDEV(B32:H32)</f>
        <v>0.0675861378898751</v>
      </c>
    </row>
    <row r="33" customFormat="false" ht="12.8" hidden="false" customHeight="false" outlineLevel="0" collapsed="false">
      <c r="A33" s="1" t="s">
        <v>15</v>
      </c>
      <c r="B33" s="1" t="n">
        <v>0.163265306122449</v>
      </c>
      <c r="C33" s="1" t="n">
        <v>0.13265306122449</v>
      </c>
      <c r="D33" s="1" t="n">
        <v>0.27891156462585</v>
      </c>
      <c r="E33" s="1" t="n">
        <v>0.0952380952380952</v>
      </c>
      <c r="F33" s="1" t="n">
        <v>0.207482993197279</v>
      </c>
      <c r="G33" s="1" t="n">
        <v>0.0303030303030303</v>
      </c>
      <c r="H33" s="1" t="n">
        <v>0.204081632653061</v>
      </c>
      <c r="I33" s="1" t="n">
        <v>0.142857142857143</v>
      </c>
      <c r="J33" s="1" t="n">
        <v>0.0646258503401361</v>
      </c>
      <c r="K33" s="1" t="n">
        <v>0.13265306122449</v>
      </c>
      <c r="L33" s="3" t="n">
        <f aca="false">AVERAGE(B33:K33)</f>
        <v>0.145207173778602</v>
      </c>
      <c r="M33" s="3" t="n">
        <f aca="false">STDEV(B33:H33)</f>
        <v>0.0817541235106711</v>
      </c>
    </row>
    <row r="34" customFormat="false" ht="12.8" hidden="false" customHeight="false" outlineLevel="0" collapsed="false">
      <c r="L34" s="3" t="e">
        <f aca="false">AVERAGE(B34:K34)</f>
        <v>#DIV/0!</v>
      </c>
      <c r="M34" s="3" t="e">
        <f aca="false">STDEV(B34:H34)</f>
        <v>#DIV/0!</v>
      </c>
    </row>
    <row r="35" customFormat="false" ht="12.8" hidden="false" customHeight="false" outlineLevel="0" collapsed="false">
      <c r="L35" s="3"/>
      <c r="M35" s="3"/>
    </row>
    <row r="36" customFormat="false" ht="12.8" hidden="false" customHeight="false" outlineLevel="0" collapsed="false">
      <c r="L36" s="3"/>
      <c r="M36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T10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3" min="2" style="1" width="14.6"/>
    <col collapsed="false" customWidth="true" hidden="false" outlineLevel="0" max="5" min="4" style="1" width="14.14"/>
    <col collapsed="false" customWidth="true" hidden="false" outlineLevel="0" max="7" min="6" style="1" width="13.91"/>
  </cols>
  <sheetData>
    <row r="2" customFormat="false" ht="12.8" hidden="false" customHeight="false" outlineLevel="0" collapsed="false">
      <c r="A2" s="4"/>
      <c r="B2" s="4"/>
      <c r="C2" s="4"/>
      <c r="D2" s="4"/>
      <c r="E2" s="4" t="s">
        <v>18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customFormat="false" ht="12.8" hidden="false" customHeight="false" outlineLevel="0" collapsed="false">
      <c r="C3" s="5" t="s">
        <v>19</v>
      </c>
      <c r="D3" s="5"/>
      <c r="E3" s="5"/>
      <c r="F3" s="5"/>
      <c r="G3" s="5"/>
    </row>
    <row r="4" customFormat="false" ht="12.8" hidden="false" customHeight="false" outlineLevel="0" collapsed="false">
      <c r="B4" s="5" t="s">
        <v>20</v>
      </c>
      <c r="C4" s="5"/>
      <c r="D4" s="5" t="s">
        <v>21</v>
      </c>
      <c r="E4" s="5"/>
      <c r="F4" s="5" t="s">
        <v>22</v>
      </c>
      <c r="G4" s="5"/>
    </row>
    <row r="5" customFormat="false" ht="12.8" hidden="false" customHeight="false" outlineLevel="0" collapsed="false">
      <c r="B5" s="1" t="s">
        <v>23</v>
      </c>
      <c r="C5" s="1" t="s">
        <v>24</v>
      </c>
      <c r="D5" s="1" t="s">
        <v>23</v>
      </c>
      <c r="E5" s="1" t="s">
        <v>24</v>
      </c>
      <c r="F5" s="1" t="s">
        <v>23</v>
      </c>
      <c r="G5" s="1" t="s">
        <v>24</v>
      </c>
    </row>
    <row r="6" customFormat="false" ht="12.8" hidden="false" customHeight="false" outlineLevel="0" collapsed="false">
      <c r="A6" s="2" t="s">
        <v>11</v>
      </c>
      <c r="B6" s="6" t="n">
        <f aca="false">'RGCN per fold POS'!L21</f>
        <v>0.299879736511246</v>
      </c>
      <c r="C6" s="6" t="n">
        <f aca="false">'RGCN per fold POS'!M21</f>
        <v>0.0713357317405017</v>
      </c>
      <c r="D6" s="3" t="n">
        <f aca="false">'RGCN per fold POS'!L29</f>
        <v>0.229665187460886</v>
      </c>
      <c r="E6" s="3" t="n">
        <f aca="false">'RGCN per fold POS'!M29</f>
        <v>0.0767228652791911</v>
      </c>
      <c r="F6" s="3" t="n">
        <f aca="false">'RGCN per fold POS'!L13</f>
        <v>0.250948061514075</v>
      </c>
      <c r="G6" s="3" t="n">
        <f aca="false">'RGCN per fold POS'!M13</f>
        <v>0.0612186806287841</v>
      </c>
    </row>
    <row r="7" customFormat="false" ht="12.8" hidden="false" customHeight="false" outlineLevel="0" collapsed="false">
      <c r="A7" s="2" t="s">
        <v>12</v>
      </c>
      <c r="B7" s="6" t="n">
        <f aca="false">'RGCN per fold POS'!L22</f>
        <v>0.24961180929409</v>
      </c>
      <c r="C7" s="6" t="n">
        <f aca="false">'RGCN per fold POS'!M22</f>
        <v>0.0243867032960097</v>
      </c>
      <c r="D7" s="3" t="n">
        <f aca="false">'RGCN per fold POS'!L30</f>
        <v>0.24293865353648</v>
      </c>
      <c r="E7" s="3" t="n">
        <f aca="false">'RGCN per fold POS'!M30</f>
        <v>0.0815190920366514</v>
      </c>
      <c r="F7" s="3" t="n">
        <f aca="false">'RGCN per fold POS'!L14</f>
        <v>0.242553897426824</v>
      </c>
      <c r="G7" s="3" t="n">
        <f aca="false">'RGCN per fold POS'!M14</f>
        <v>0.0514608012092115</v>
      </c>
    </row>
    <row r="8" customFormat="false" ht="12.8" hidden="false" customHeight="false" outlineLevel="0" collapsed="false">
      <c r="A8" s="2" t="s">
        <v>13</v>
      </c>
      <c r="B8" s="6" t="n">
        <f aca="false">'RGCN per fold POS'!L23</f>
        <v>0.203088202097296</v>
      </c>
      <c r="C8" s="6" t="n">
        <f aca="false">'RGCN per fold POS'!M23</f>
        <v>0.0600404184005183</v>
      </c>
      <c r="D8" s="3" t="n">
        <f aca="false">'RGCN per fold POS'!L31</f>
        <v>0.20063998649105</v>
      </c>
      <c r="E8" s="3" t="n">
        <f aca="false">'RGCN per fold POS'!M31</f>
        <v>0.110772971097361</v>
      </c>
      <c r="F8" s="3" t="n">
        <f aca="false">'RGCN per fold POS'!L15</f>
        <v>0.189146302946454</v>
      </c>
      <c r="G8" s="3" t="n">
        <f aca="false">'RGCN per fold POS'!M15</f>
        <v>0.0628249035971572</v>
      </c>
    </row>
    <row r="9" customFormat="false" ht="12.8" hidden="false" customHeight="false" outlineLevel="0" collapsed="false">
      <c r="A9" s="2" t="s">
        <v>14</v>
      </c>
      <c r="B9" s="6" t="n">
        <f aca="false">'RGCN per fold POS'!L24</f>
        <v>0.144793831366468</v>
      </c>
      <c r="C9" s="6" t="n">
        <f aca="false">'RGCN per fold POS'!M24</f>
        <v>0.054344213336152</v>
      </c>
      <c r="D9" s="3" t="n">
        <f aca="false">'RGCN per fold POS'!L32</f>
        <v>0.179708119857165</v>
      </c>
      <c r="E9" s="3" t="n">
        <f aca="false">'RGCN per fold POS'!M32</f>
        <v>0.0675861378898751</v>
      </c>
      <c r="F9" s="3" t="n">
        <f aca="false">'RGCN per fold POS'!L16</f>
        <v>0.159293111195993</v>
      </c>
      <c r="G9" s="3" t="n">
        <f aca="false">'RGCN per fold POS'!M16</f>
        <v>0.059759254083549</v>
      </c>
    </row>
    <row r="10" customFormat="false" ht="12.8" hidden="false" customHeight="false" outlineLevel="0" collapsed="false">
      <c r="A10" s="2" t="s">
        <v>15</v>
      </c>
      <c r="B10" s="6" t="n">
        <f aca="false">'RGCN per fold POS'!L25</f>
        <v>0.1213564905815</v>
      </c>
      <c r="C10" s="6" t="n">
        <f aca="false">'RGCN per fold POS'!M25</f>
        <v>0.046598985568851</v>
      </c>
      <c r="D10" s="3" t="n">
        <f aca="false">'RGCN per fold POS'!L33</f>
        <v>0.145207173778602</v>
      </c>
      <c r="E10" s="3" t="n">
        <f aca="false">'RGCN per fold POS'!M33</f>
        <v>0.0817541235106711</v>
      </c>
      <c r="F10" s="3" t="n">
        <f aca="false">'RGCN per fold POS'!L17</f>
        <v>0.127128188257561</v>
      </c>
      <c r="G10" s="3" t="n">
        <f aca="false">'RGCN per fold POS'!M17</f>
        <v>0.0620076431701105</v>
      </c>
    </row>
  </sheetData>
  <mergeCells count="4">
    <mergeCell ref="C3:G3"/>
    <mergeCell ref="B4:C4"/>
    <mergeCell ref="D4:E4"/>
    <mergeCell ref="F4:G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2026-07-08T17:47:19Z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